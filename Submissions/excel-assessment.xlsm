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bhitha\Downloads\"/>
    </mc:Choice>
  </mc:AlternateContent>
  <xr:revisionPtr revIDLastSave="0" documentId="13_ncr:1_{CB1168B2-E7C4-4B06-AF86-482D35358F84}" xr6:coauthVersionLast="47" xr6:coauthVersionMax="47" xr10:uidLastSave="{00000000-0000-0000-0000-000000000000}"/>
  <bookViews>
    <workbookView xWindow="-110" yWindow="-110" windowWidth="19420" windowHeight="10300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20" l="1" a="1"/>
  <c r="C26" i="20" s="1"/>
  <c r="C27" i="20" a="1"/>
  <c r="C27" i="20"/>
  <c r="C28" i="20" a="1"/>
  <c r="C28" i="20"/>
  <c r="C29" i="20" a="1"/>
  <c r="C29" i="20" s="1"/>
  <c r="C30" i="20" a="1"/>
  <c r="C30" i="20" s="1"/>
  <c r="C31" i="20" a="1"/>
  <c r="C31" i="20"/>
  <c r="C32" i="20" a="1"/>
  <c r="C32" i="20"/>
  <c r="C33" i="20" a="1"/>
  <c r="C33" i="20"/>
  <c r="C34" i="20" a="1"/>
  <c r="C34" i="20" s="1"/>
  <c r="C35" i="20" a="1"/>
  <c r="C35" i="20"/>
  <c r="C36" i="20" a="1"/>
  <c r="C36" i="20"/>
  <c r="C37" i="20" a="1"/>
  <c r="C37" i="20"/>
  <c r="C25" i="20" a="1"/>
  <c r="C25" i="20" s="1"/>
  <c r="C25" i="19" a="1"/>
  <c r="C25" i="19" s="1"/>
  <c r="F30" i="18"/>
  <c r="E30" i="18"/>
  <c r="D30" i="18"/>
  <c r="C30" i="18"/>
  <c r="B30" i="18"/>
  <c r="F29" i="18"/>
  <c r="E29" i="18"/>
  <c r="C29" i="18"/>
  <c r="D29" i="18"/>
  <c r="B29" i="18"/>
  <c r="F28" i="18"/>
  <c r="E28" i="18"/>
  <c r="D28" i="18"/>
  <c r="C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H4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<sst xmlns="http://schemas.openxmlformats.org/spreadsheetml/2006/main" count="415" uniqueCount="192">
  <si>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</si>
  <si>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</si>
  <si>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</si>
  <si>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</si>
  <si>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</si>
  <si>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</si>
  <si>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</si>
  <si>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</si>
  <si>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</si>
  <si>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</si>
  <si>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</si>
  <si>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</si>
  <si>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</si>
  <si>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</si>
  <si>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</si>
  <si>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</si>
  <si>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</si>
  <si>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</si>
  <si>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</si>
  <si>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</si>
  <si>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</si>
  <si>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</si>
  <si>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</si>
  <si>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</si>
  <si>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</si>
  <si>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</si>
  <si>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</si>
  <si>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</si>
  <si>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</si>
  <si>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</si>
  <si>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</si>
  <si>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</si>
  <si>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</si>
  <si>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</si>
  <si>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</si>
  <si>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</si>
  <si>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</si>
  <si>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</si>
  <si>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</si>
  <si>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</si>
  <si>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</si>
  <si>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</si>
  <si>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</si>
  <si>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</si>
  <si>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</si>
  <si>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</si>
  <si>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</si>
  <si>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</si>
  <si>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</si>
  <si>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</si>
  <si>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</si>
  <si>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</si>
  <si>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</si>
  <si>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</si>
  <si>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</si>
  <si>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</si>
  <si>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</si>
  <si>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</si>
  <si>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</si>
  <si>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</si>
  <si>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</si>
  <si>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</si>
  <si>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</si>
  <si>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</si>
  <si>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</si>
  <si>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</si>
  <si>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</si>
  <si>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</si>
  <si>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</si>
  <si>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</si>
  <si>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</si>
  <si>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</si>
  <si>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</si>
  <si>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</si>
  <si>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</si>
  <si>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</si>
  <si>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</si>
  <si>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</si>
  <si>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</si>
  <si>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</si>
  <si>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</si>
  <si>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</si>
  <si>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</si>
  <si>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</si>
  <si>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</si>
  <si>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</si>
  <si>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</si>
  <si>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</si>
  <si>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</si>
  <si>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</si>
  <si>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</si>
  <si>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</si>
  <si>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</si>
  <si>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</si>
  <si>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</si>
  <si>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</si>
  <si>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</si>
  <si>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</si>
  <si>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</si>
  <si>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</si>
  <si>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</si>
  <si>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</si>
  <si>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</si>
  <si>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</si>
  <si>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</si>
  <si>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</si>
  <si>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</si>
  <si>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</si>
  <si>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</si>
  <si>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</si>
  <si>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</si>
  <si>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</si>
  <si>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</si>
  <si>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</si>
  <si>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</si>
  <si>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</si>
  <si>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</si>
  <si>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</si>
  <si>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</si>
  <si>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</si>
  <si>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</si>
  <si>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</si>
  <si>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</si>
  <si>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</si>
  <si>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</si>
  <si>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</si>
  <si>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</si>
  <si>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</si>
  <si>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</si>
  <si>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</si>
  <si>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</si>
  <si>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</si>
  <si>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</si>
  <si>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</si>
  <si>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</si>
  <si>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</si>
  <si>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</si>
  <si>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</si>
  <si>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</si>
  <si>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</si>
  <si>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</si>
  <si>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</si>
  <si>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</si>
  <si>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</si>
  <si>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</si>
  <si>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</si>
  <si>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</si>
  <si>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</si>
  <si>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</si>
  <si>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</si>
  <si>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</si>
  <si>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</si>
  <si>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</si>
  <si>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</si>
  <si>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</si>
  <si>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</si>
  <si>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</si>
  <si>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</si>
  <si>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</si>
  <si>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</si>
  <si>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</si>
  <si>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</si>
  <si>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</si>
  <si>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</si>
  <si>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</si>
  <si>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</si>
  <si>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</si>
  <si>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</si>
  <si>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</si>
  <si>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</si>
  <si>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</si>
  <si>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</si>
  <si>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</si>
  <si>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</si>
  <si>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</si>
  <si>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</si>
  <si>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</si>
  <si>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SUMIF(H2:H40, "&gt;20")</t>
  </si>
  <si>
    <t>XLOOKUP(A6,Dataset!$A2:$A40,Dataset!$G2:$G40)</t>
  </si>
  <si>
    <t>Text to Columns</t>
  </si>
  <si>
    <t>Select the column "values" from Table_A</t>
  </si>
  <si>
    <t>Go to "Data" tab and select "Text to Columns"</t>
  </si>
  <si>
    <t>Click on Next and mention the destination and click on Finish</t>
  </si>
  <si>
    <t xml:space="preserve">Click on "Delimited" and click on Other and mention the hyphen in the tab as this string is separated by the hyphen </t>
  </si>
  <si>
    <t>SUM(IF(ISNA(C12:C21),20,C12:C21))</t>
  </si>
  <si>
    <t xml:space="preserve">1. ISNA(C12:C21): Is check for each cell in the range C12:C21, whether if it contains  #N/A or not. </t>
  </si>
  <si>
    <t>2. IF(ISNA(C12:C21), 20, C12:C21): This checks the step 1 result. If the array has  #N/A, it replaces the error with '20'; otherwise, it keeps the original value.</t>
  </si>
  <si>
    <t>3. SUM(IF(ISNA(C12:C21), 20, C12:C21)): this is the final function to find the sum of all sales values. The "SUM" function adds up all the values in the modified array, from the step 2</t>
  </si>
  <si>
    <t>INDEX(Table_A, MATCH(INDEX(Table_C, ROW(), 1), Table_A, 0), MATCH(INDEX(Table_C, ROW(), 2), Table_A, 0))</t>
  </si>
  <si>
    <t>INDEX(Table_A, ...) - This function returns of a specified row and column within a range. In this case, the range is Table_A</t>
  </si>
  <si>
    <t>MATCH(INDEX(Table_C, ROW(), 1), Table_A, 0) - This is the first argument of the INDEX function for the row number. It finds the position of the value in Table_C column 1 (using INDEX(Table_C, ROW(), 1)) within the first column of Table_A. The MATCH function returns the position.</t>
  </si>
  <si>
    <t>MATCH(INDEX(Table_C, ROW(), 2), Table_A, 0) - This is the second argument of the INDEX function for the column number. It finds the position of the value in Table_C column 2 (using INDEX(Table_C, ROW(), 2)) within the header row of Table_A. The MATCH function returns the position. Using 0 will find the exact match.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</si>
</sst>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\-mm\-dd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7"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6"/>
      <tableStyleElement type="headerRow" dxfId="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C11" sqref="C11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6" t="s">
        <v>171</v>
      </c>
      <c r="B9" s="26" t="s">
        <v>169</v>
      </c>
    </row>
    <row r="10" spans="1:3" x14ac:dyDescent="0.3">
      <c r="A10" s="35" t="s">
        <v>172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1"/>
  <sheetViews>
    <sheetView topLeftCell="T1" zoomScaleNormal="100" workbookViewId="0">
      <pane ySplit="1" topLeftCell="A29" activePane="bottomLeft" state="frozen"/>
      <selection activeCell="G1" sqref="G1"/>
      <selection pane="bottomLeft" activeCell="E11" sqref="E11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5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4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  <row r="41" spans="1:24" x14ac:dyDescent="0.35">
      <c r="H41" s="1">
        <f>SUMIF(H2:H40, "&gt;20")</f>
        <v>1473.0000000000002</v>
      </c>
    </row>
  </sheetData>
  <conditionalFormatting sqref="A1:A1048576">
    <cfRule type="duplicateValues" dxfId="4" priority="5"/>
  </conditionalFormatting>
  <conditionalFormatting sqref="B1:B1048576">
    <cfRule type="duplicateValues" dxfId="3" priority="4"/>
  </conditionalFormatting>
  <conditionalFormatting sqref="A1">
    <cfRule type="cellIs" dxfId="2" priority="3" operator="equal">
      <formula>-1</formula>
    </cfRule>
  </conditionalFormatting>
  <conditionalFormatting sqref="A1:X40">
    <cfRule type="cellIs" dxfId="1" priority="2" operator="equal">
      <formula>-1</formula>
    </cfRule>
  </conditionalFormatting>
  <conditionalFormatting sqref="G2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5">
      <c r="A2" s="2"/>
      <c r="B2" s="5" t="s">
        <v>160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H30"/>
  <sheetViews>
    <sheetView topLeftCell="A13" zoomScale="91" zoomScaleNormal="91" workbookViewId="0">
      <selection activeCell="H26" sqref="H2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8" s="41" customFormat="1" ht="21" x14ac:dyDescent="0.5">
      <c r="A1" s="42" t="s">
        <v>55</v>
      </c>
      <c r="B1" s="41" t="s">
        <v>164</v>
      </c>
    </row>
    <row r="2" spans="1:8" s="41" customFormat="1" ht="21" x14ac:dyDescent="0.5">
      <c r="B2" s="41" t="s">
        <v>161</v>
      </c>
    </row>
    <row r="3" spans="1:8" ht="14.5" x14ac:dyDescent="0.35">
      <c r="A3" s="1"/>
      <c r="B3" s="1"/>
      <c r="C3" s="1"/>
      <c r="D3" s="1"/>
      <c r="E3" s="1"/>
      <c r="F3" s="1"/>
      <c r="G3" s="1"/>
    </row>
    <row r="4" spans="1:8" ht="23.5" x14ac:dyDescent="0.55000000000000004">
      <c r="A4" s="18" t="s">
        <v>162</v>
      </c>
      <c r="B4" s="1"/>
      <c r="C4" s="1"/>
      <c r="D4" s="1"/>
      <c r="E4" s="1"/>
      <c r="F4" s="1"/>
      <c r="G4" s="1"/>
    </row>
    <row r="5" spans="1:8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8" ht="14.5" x14ac:dyDescent="0.35">
      <c r="A6" s="7" t="s">
        <v>40</v>
      </c>
      <c r="B6" s="12">
        <f>_xlfn.XLOOKUP(A6,Dataset!$A2:$A40,Dataset!$G2:$G40)</f>
        <v>2.7</v>
      </c>
      <c r="C6" s="12">
        <f>_xlfn.XLOOKUP(A6,Dataset!$A2:$A40,Dataset!$N2:$N40)</f>
        <v>7.6</v>
      </c>
      <c r="D6" s="12">
        <f>_xlfn.XLOOKUP(A6,Dataset!$A2:$A40,Dataset!$R2:$R40)</f>
        <v>4.2</v>
      </c>
      <c r="E6" s="12">
        <f>_xlfn.XLOOKUP(A6,Dataset!$A2:$A40,Dataset!$T2:$T40)</f>
        <v>8.9</v>
      </c>
      <c r="F6" s="8">
        <f>_xlfn.XLOOKUP(A6,Dataset!$A2:$A40,Dataset!$V2:$V40)</f>
        <v>4.2</v>
      </c>
      <c r="H6" s="2" t="s">
        <v>178</v>
      </c>
    </row>
    <row r="7" spans="1:8" ht="14.5" x14ac:dyDescent="0.35">
      <c r="A7" s="7" t="s">
        <v>4</v>
      </c>
      <c r="B7" s="12">
        <f>_xlfn.XLOOKUP(A7,Dataset!$A3:$A41,Dataset!$G3:$G41)</f>
        <v>2.7</v>
      </c>
      <c r="C7" s="12">
        <f>_xlfn.XLOOKUP(A7,Dataset!$A3:$A41,Dataset!$N3:$N41)</f>
        <v>7.6</v>
      </c>
      <c r="D7" s="12">
        <f>_xlfn.XLOOKUP(A7,Dataset!$A3:$A41,Dataset!$R3:$R41)</f>
        <v>4.2</v>
      </c>
      <c r="E7" s="12">
        <f>_xlfn.XLOOKUP(A7,Dataset!$A3:$A41,Dataset!$T3:$T41)</f>
        <v>8.9</v>
      </c>
      <c r="F7" s="8">
        <f>_xlfn.XLOOKUP(A7,Dataset!$A3:$A41,Dataset!$V3:$V41)</f>
        <v>4.2</v>
      </c>
    </row>
    <row r="8" spans="1:8" ht="14.5" x14ac:dyDescent="0.35">
      <c r="A8" s="7" t="s">
        <v>7</v>
      </c>
      <c r="B8" s="12">
        <f>_xlfn.XLOOKUP(A8,Dataset!$A4:$A42,Dataset!$G4:$G42)</f>
        <v>3.6</v>
      </c>
      <c r="C8" s="12">
        <f>_xlfn.XLOOKUP(A8,Dataset!$A4:$A42,Dataset!$N4:$N42)</f>
        <v>11.1</v>
      </c>
      <c r="D8" s="12">
        <f>_xlfn.XLOOKUP(A8,Dataset!$A4:$A42,Dataset!$R4:$R42)</f>
        <v>5.8</v>
      </c>
      <c r="E8" s="12">
        <f>_xlfn.XLOOKUP(A8,Dataset!$A4:$A42,Dataset!$T4:$T42)</f>
        <v>12.2</v>
      </c>
      <c r="F8" s="8">
        <f>_xlfn.XLOOKUP(A8,Dataset!$A4:$A42,Dataset!$V4:$V42)</f>
        <v>5.8</v>
      </c>
    </row>
    <row r="9" spans="1:8" ht="14.5" x14ac:dyDescent="0.35">
      <c r="A9" s="7" t="s">
        <v>8</v>
      </c>
      <c r="B9" s="12">
        <f>_xlfn.XLOOKUP(A9,Dataset!$A5:$A43,Dataset!$G5:$G43)</f>
        <v>4.9000000000000004</v>
      </c>
      <c r="C9" s="12">
        <f>_xlfn.XLOOKUP(A9,Dataset!$A5:$A43,Dataset!$N5:$N43)</f>
        <v>13.3</v>
      </c>
      <c r="D9" s="12">
        <f>_xlfn.XLOOKUP(A9,Dataset!$A5:$A43,Dataset!$R5:$R43)</f>
        <v>8.1</v>
      </c>
      <c r="E9" s="12">
        <f>_xlfn.XLOOKUP(A9,Dataset!$A5:$A43,Dataset!$T5:$T43)</f>
        <v>17</v>
      </c>
      <c r="F9" s="8">
        <f>_xlfn.XLOOKUP(A9,Dataset!$A5:$A43,Dataset!$V5:$V43)</f>
        <v>8.1</v>
      </c>
    </row>
    <row r="10" spans="1:8" ht="14.5" x14ac:dyDescent="0.35">
      <c r="A10" s="7" t="s">
        <v>11</v>
      </c>
      <c r="B10" s="12">
        <f>_xlfn.XLOOKUP(A10,Dataset!$A6:$A44,Dataset!$G6:$G44)</f>
        <v>9.4</v>
      </c>
      <c r="C10" s="12">
        <f>_xlfn.XLOOKUP(A10,Dataset!$A6:$A44,Dataset!$N6:$N44)</f>
        <v>28.3</v>
      </c>
      <c r="D10" s="12">
        <f>_xlfn.XLOOKUP(A10,Dataset!$A6:$A44,Dataset!$R6:$R44)</f>
        <v>16.100000000000001</v>
      </c>
      <c r="E10" s="12">
        <f>_xlfn.XLOOKUP(A10,Dataset!$A6:$A44,Dataset!$T6:$T44)</f>
        <v>32.799999999999997</v>
      </c>
      <c r="F10" s="8">
        <f>_xlfn.XLOOKUP(A10,Dataset!$A6:$A44,Dataset!$V6:$V44)</f>
        <v>16.100000000000001</v>
      </c>
    </row>
    <row r="11" spans="1:8" ht="14.5" x14ac:dyDescent="0.35">
      <c r="A11" s="7" t="s">
        <v>12</v>
      </c>
      <c r="B11" s="12">
        <f>_xlfn.XLOOKUP(A11,Dataset!$A7:$A45,Dataset!$G7:$G45)</f>
        <v>11.6</v>
      </c>
      <c r="C11" s="12">
        <f>_xlfn.XLOOKUP(A11,Dataset!$A7:$A45,Dataset!$N7:$N45)</f>
        <v>35.200000000000003</v>
      </c>
      <c r="D11" s="12">
        <f>_xlfn.XLOOKUP(A11,Dataset!$A7:$A45,Dataset!$R7:$R45)</f>
        <v>21.3</v>
      </c>
      <c r="E11" s="12">
        <f>_xlfn.XLOOKUP(A11,Dataset!$A7:$A45,Dataset!$T7:$T45)</f>
        <v>43</v>
      </c>
      <c r="F11" s="8">
        <f>_xlfn.XLOOKUP(A11,Dataset!$A7:$A45,Dataset!$V7:$V45)</f>
        <v>21.3</v>
      </c>
    </row>
    <row r="12" spans="1:8" ht="14.5" x14ac:dyDescent="0.35">
      <c r="A12" s="7" t="s">
        <v>14</v>
      </c>
      <c r="B12" s="12">
        <f>_xlfn.XLOOKUP(A12,Dataset!$A8:$A46,Dataset!$G8:$G46)</f>
        <v>18.399999999999999</v>
      </c>
      <c r="C12" s="12">
        <f>_xlfn.XLOOKUP(A12,Dataset!$A8:$A46,Dataset!$N8:$N46)</f>
        <v>55.6</v>
      </c>
      <c r="D12" s="12">
        <f>_xlfn.XLOOKUP(A12,Dataset!$A8:$A46,Dataset!$R8:$R46)</f>
        <v>33.799999999999997</v>
      </c>
      <c r="E12" s="12">
        <f>_xlfn.XLOOKUP(A12,Dataset!$A8:$A46,Dataset!$T8:$T46)</f>
        <v>67.900000000000006</v>
      </c>
      <c r="F12" s="8">
        <f>_xlfn.XLOOKUP(A12,Dataset!$A8:$A46,Dataset!$V8:$V46)</f>
        <v>33.799999999999997</v>
      </c>
    </row>
    <row r="13" spans="1:8" ht="14.5" x14ac:dyDescent="0.35">
      <c r="A13" s="7" t="s">
        <v>15</v>
      </c>
      <c r="B13" s="12">
        <f>_xlfn.XLOOKUP(A13,Dataset!$A9:$A47,Dataset!$G9:$G47)</f>
        <v>0</v>
      </c>
      <c r="C13" s="12">
        <f>_xlfn.XLOOKUP(A13,Dataset!$A9:$A47,Dataset!$N9:$N47)</f>
        <v>0</v>
      </c>
      <c r="D13" s="12">
        <f>_xlfn.XLOOKUP(A13,Dataset!$A9:$A47,Dataset!$R9:$R47)</f>
        <v>0</v>
      </c>
      <c r="E13" s="12">
        <f>_xlfn.XLOOKUP(A13,Dataset!$A9:$A47,Dataset!$T9:$T47)</f>
        <v>0</v>
      </c>
      <c r="F13" s="8">
        <f>_xlfn.XLOOKUP(A13,Dataset!$A9:$A47,Dataset!$V9:$V47)</f>
        <v>0</v>
      </c>
    </row>
    <row r="14" spans="1:8" ht="14.5" x14ac:dyDescent="0.35">
      <c r="A14" s="7" t="s">
        <v>16</v>
      </c>
      <c r="B14" s="12">
        <f>_xlfn.XLOOKUP(A14,Dataset!$A10:$A48,Dataset!$G10:$G48)</f>
        <v>21.9</v>
      </c>
      <c r="C14" s="12">
        <f>_xlfn.XLOOKUP(A14,Dataset!$A10:$A48,Dataset!$N10:$N48)</f>
        <v>61.5</v>
      </c>
      <c r="D14" s="12">
        <f>_xlfn.XLOOKUP(A14,Dataset!$A10:$A48,Dataset!$R10:$R48)</f>
        <v>40.1</v>
      </c>
      <c r="E14" s="12">
        <f>_xlfn.XLOOKUP(A14,Dataset!$A10:$A48,Dataset!$T10:$T48)</f>
        <v>76.599999999999994</v>
      </c>
      <c r="F14" s="8">
        <f>_xlfn.XLOOKUP(A14,Dataset!$A10:$A48,Dataset!$V10:$V48)</f>
        <v>40.1</v>
      </c>
    </row>
    <row r="15" spans="1:8" ht="14.5" x14ac:dyDescent="0.35">
      <c r="A15" s="7" t="s">
        <v>18</v>
      </c>
      <c r="B15" s="12">
        <f>_xlfn.XLOOKUP(A15,Dataset!$A11:$A49,Dataset!$G11:$G49)</f>
        <v>26.8</v>
      </c>
      <c r="C15" s="12">
        <f>_xlfn.XLOOKUP(A15,Dataset!$A11:$A49,Dataset!$N11:$N49)</f>
        <v>79.599999999999994</v>
      </c>
      <c r="D15" s="12">
        <f>_xlfn.XLOOKUP(A15,Dataset!$A11:$A49,Dataset!$R11:$R49)</f>
        <v>47.9</v>
      </c>
      <c r="E15" s="12">
        <f>_xlfn.XLOOKUP(A15,Dataset!$A11:$A49,Dataset!$T11:$T49)</f>
        <v>96.8</v>
      </c>
      <c r="F15" s="8">
        <f>_xlfn.XLOOKUP(A15,Dataset!$A11:$A49,Dataset!$V11:$V49)</f>
        <v>47.9</v>
      </c>
    </row>
    <row r="16" spans="1:8" ht="14.5" x14ac:dyDescent="0.35">
      <c r="A16" s="7" t="s">
        <v>20</v>
      </c>
      <c r="B16" s="12">
        <f>_xlfn.XLOOKUP(A16,Dataset!$A12:$A50,Dataset!$G12:$G50)</f>
        <v>28.5</v>
      </c>
      <c r="C16" s="12">
        <f>_xlfn.XLOOKUP(A16,Dataset!$A12:$A50,Dataset!$N12:$N50)</f>
        <v>85.4</v>
      </c>
      <c r="D16" s="12">
        <f>_xlfn.XLOOKUP(A16,Dataset!$A12:$A50,Dataset!$R12:$R50)</f>
        <v>52.3</v>
      </c>
      <c r="E16" s="12">
        <f>_xlfn.XLOOKUP(A16,Dataset!$A12:$A50,Dataset!$T12:$T50)</f>
        <v>106.1</v>
      </c>
      <c r="F16" s="8">
        <f>_xlfn.XLOOKUP(A16,Dataset!$A12:$A50,Dataset!$V12:$V50)</f>
        <v>52.3</v>
      </c>
    </row>
    <row r="17" spans="1:6" ht="14.5" x14ac:dyDescent="0.35">
      <c r="A17" s="7" t="s">
        <v>22</v>
      </c>
      <c r="B17" s="12">
        <f>_xlfn.XLOOKUP(A17,Dataset!$A13:$A51,Dataset!$G13:$G51)</f>
        <v>30.7</v>
      </c>
      <c r="C17" s="12">
        <f>_xlfn.XLOOKUP(A17,Dataset!$A13:$A51,Dataset!$N13:$N51)</f>
        <v>92.1</v>
      </c>
      <c r="D17" s="12">
        <f>_xlfn.XLOOKUP(A17,Dataset!$A13:$A51,Dataset!$R13:$R51)</f>
        <v>57</v>
      </c>
      <c r="E17" s="12">
        <f>_xlfn.XLOOKUP(A17,Dataset!$A13:$A51,Dataset!$T13:$T51)</f>
        <v>115.1</v>
      </c>
      <c r="F17" s="8">
        <f>_xlfn.XLOOKUP(A17,Dataset!$A13:$A51,Dataset!$V13:$V51)</f>
        <v>57</v>
      </c>
    </row>
    <row r="18" spans="1:6" ht="14.5" x14ac:dyDescent="0.35">
      <c r="A18" s="7" t="s">
        <v>23</v>
      </c>
      <c r="B18" s="12">
        <f>_xlfn.XLOOKUP(A18,Dataset!$A14:$A52,Dataset!$G14:$G52)</f>
        <v>33.799999999999997</v>
      </c>
      <c r="C18" s="12">
        <f>_xlfn.XLOOKUP(A18,Dataset!$A14:$A52,Dataset!$N14:$N52)</f>
        <v>101.3</v>
      </c>
      <c r="D18" s="12">
        <f>_xlfn.XLOOKUP(A18,Dataset!$A14:$A52,Dataset!$R14:$R52)</f>
        <v>61.4</v>
      </c>
      <c r="E18" s="12">
        <f>_xlfn.XLOOKUP(A18,Dataset!$A14:$A52,Dataset!$T14:$T52)</f>
        <v>124.4</v>
      </c>
      <c r="F18" s="8">
        <f>_xlfn.XLOOKUP(A18,Dataset!$A14:$A52,Dataset!$V14:$V52)</f>
        <v>61.4</v>
      </c>
    </row>
    <row r="19" spans="1:6" ht="14.5" x14ac:dyDescent="0.35">
      <c r="A19" s="7" t="s">
        <v>24</v>
      </c>
      <c r="B19" s="12">
        <f>_xlfn.XLOOKUP(A19,Dataset!$A15:$A53,Dataset!$G15:$G53)</f>
        <v>34.700000000000003</v>
      </c>
      <c r="C19" s="12">
        <f>_xlfn.XLOOKUP(A19,Dataset!$A15:$A53,Dataset!$N15:$N53)</f>
        <v>106.1</v>
      </c>
      <c r="D19" s="12">
        <f>_xlfn.XLOOKUP(A19,Dataset!$A15:$A53,Dataset!$R15:$R53)</f>
        <v>63.6</v>
      </c>
      <c r="E19" s="12">
        <f>_xlfn.XLOOKUP(A19,Dataset!$A15:$A53,Dataset!$T15:$T53)</f>
        <v>128.6</v>
      </c>
      <c r="F19" s="8">
        <f>_xlfn.XLOOKUP(A19,Dataset!$A15:$A53,Dataset!$V15:$V53)</f>
        <v>63.6</v>
      </c>
    </row>
    <row r="20" spans="1:6" ht="14.5" x14ac:dyDescent="0.35">
      <c r="A20" s="7" t="s">
        <v>28</v>
      </c>
      <c r="B20" s="12">
        <f>_xlfn.XLOOKUP(A20,Dataset!$A16:$A54,Dataset!$G16:$G54)</f>
        <v>0</v>
      </c>
      <c r="C20" s="12">
        <f>_xlfn.XLOOKUP(A20,Dataset!$A16:$A54,Dataset!$N16:$N54)</f>
        <v>0</v>
      </c>
      <c r="D20" s="12">
        <f>_xlfn.XLOOKUP(A20,Dataset!$A16:$A54,Dataset!$R16:$R54)</f>
        <v>0</v>
      </c>
      <c r="E20" s="12">
        <f>_xlfn.XLOOKUP(A20,Dataset!$A16:$A54,Dataset!$T16:$T54)</f>
        <v>0</v>
      </c>
      <c r="F20" s="8">
        <f>_xlfn.XLOOKUP(A20,Dataset!$A16:$A54,Dataset!$V16:$V54)</f>
        <v>0</v>
      </c>
    </row>
    <row r="21" spans="1:6" ht="14.5" x14ac:dyDescent="0.35">
      <c r="A21" s="7" t="s">
        <v>57</v>
      </c>
      <c r="B21" s="12">
        <f>_xlfn.XLOOKUP(A21,Dataset!$A17:$A55,Dataset!$G17:$G55)</f>
        <v>41.3</v>
      </c>
      <c r="C21" s="12">
        <f>_xlfn.XLOOKUP(A21,Dataset!$A17:$A55,Dataset!$N17:$N55)</f>
        <v>124.4</v>
      </c>
      <c r="D21" s="12">
        <f>_xlfn.XLOOKUP(A21,Dataset!$A17:$A55,Dataset!$R17:$R55)</f>
        <v>75</v>
      </c>
      <c r="E21" s="12">
        <f>_xlfn.XLOOKUP(A21,Dataset!$A17:$A55,Dataset!$T17:$T55)</f>
        <v>151.5</v>
      </c>
      <c r="F21" s="8">
        <f>_xlfn.XLOOKUP(A21,Dataset!$A17:$A55,Dataset!$V17:$V55)</f>
        <v>75</v>
      </c>
    </row>
    <row r="22" spans="1:6" ht="14.5" x14ac:dyDescent="0.35">
      <c r="A22" s="7" t="s">
        <v>58</v>
      </c>
      <c r="B22" s="12">
        <f>_xlfn.XLOOKUP(A22,Dataset!$A18:$A56,Dataset!$G18:$G56)</f>
        <v>-1</v>
      </c>
      <c r="C22" s="12">
        <f>_xlfn.XLOOKUP(A22,Dataset!$A18:$A56,Dataset!$N18:$N56)</f>
        <v>-1</v>
      </c>
      <c r="D22" s="12">
        <f>_xlfn.XLOOKUP(A22,Dataset!$A18:$A56,Dataset!$R18:$R56)</f>
        <v>-1</v>
      </c>
      <c r="E22" s="12">
        <f>_xlfn.XLOOKUP(A22,Dataset!$A18:$A56,Dataset!$T18:$T56)</f>
        <v>-1</v>
      </c>
      <c r="F22" s="8">
        <f>_xlfn.XLOOKUP(A22,Dataset!$A18:$A56,Dataset!$V18:$V56)</f>
        <v>-1</v>
      </c>
    </row>
    <row r="23" spans="1:6" ht="14.5" x14ac:dyDescent="0.35">
      <c r="A23" s="7" t="s">
        <v>31</v>
      </c>
      <c r="B23" s="12">
        <f>_xlfn.XLOOKUP(A23,Dataset!$A19:$A57,Dataset!$G19:$G57)</f>
        <v>45</v>
      </c>
      <c r="C23" s="12">
        <f>_xlfn.XLOOKUP(A23,Dataset!$A19:$A57,Dataset!$N19:$N57)</f>
        <v>133.4</v>
      </c>
      <c r="D23" s="12">
        <f>_xlfn.XLOOKUP(A23,Dataset!$A19:$A57,Dataset!$R19:$R57)</f>
        <v>79.400000000000006</v>
      </c>
      <c r="E23" s="12">
        <f>_xlfn.XLOOKUP(A23,Dataset!$A19:$A57,Dataset!$T19:$T57)</f>
        <v>160.9</v>
      </c>
      <c r="F23" s="8">
        <f>_xlfn.XLOOKUP(A23,Dataset!$A19:$A57,Dataset!$V19:$V57)</f>
        <v>79.400000000000006</v>
      </c>
    </row>
    <row r="24" spans="1:6" ht="14.5" x14ac:dyDescent="0.35">
      <c r="A24" s="7" t="s">
        <v>32</v>
      </c>
      <c r="B24" s="12">
        <f>_xlfn.XLOOKUP(A24,Dataset!$A20:$A58,Dataset!$G20:$G58)</f>
        <v>-1</v>
      </c>
      <c r="C24" s="12">
        <f>_xlfn.XLOOKUP(A24,Dataset!$A20:$A58,Dataset!$N20:$N58)</f>
        <v>-1</v>
      </c>
      <c r="D24" s="12">
        <f>_xlfn.XLOOKUP(A24,Dataset!$A20:$A58,Dataset!$R20:$R58)</f>
        <v>-1</v>
      </c>
      <c r="E24" s="12">
        <f>_xlfn.XLOOKUP(A24,Dataset!$A20:$A58,Dataset!$T20:$T58)</f>
        <v>-1</v>
      </c>
      <c r="F24" s="8">
        <f>_xlfn.XLOOKUP(A24,Dataset!$A20:$A58,Dataset!$V20:$V58)</f>
        <v>-1</v>
      </c>
    </row>
    <row r="25" spans="1:6" ht="14.5" x14ac:dyDescent="0.35">
      <c r="A25" s="7" t="s">
        <v>34</v>
      </c>
      <c r="B25" s="12">
        <f>_xlfn.XLOOKUP(A25,Dataset!$A21:$A59,Dataset!$G21:$G59)</f>
        <v>43.3</v>
      </c>
      <c r="C25" s="12">
        <f>_xlfn.XLOOKUP(A25,Dataset!$A21:$A59,Dataset!$N21:$N59)</f>
        <v>128.6</v>
      </c>
      <c r="D25" s="12">
        <f>_xlfn.XLOOKUP(A25,Dataset!$A21:$A59,Dataset!$R21:$R59)</f>
        <v>79.400000000000006</v>
      </c>
      <c r="E25" s="12">
        <f>_xlfn.XLOOKUP(A25,Dataset!$A21:$A59,Dataset!$T21:$T59)</f>
        <v>160.9</v>
      </c>
      <c r="F25" s="8">
        <f>_xlfn.XLOOKUP(A25,Dataset!$A21:$A59,Dataset!$V21:$V59)</f>
        <v>79.400000000000006</v>
      </c>
    </row>
    <row r="26" spans="1:6" ht="14.5" x14ac:dyDescent="0.35">
      <c r="A26" s="7" t="s">
        <v>37</v>
      </c>
      <c r="B26" s="12">
        <f>_xlfn.XLOOKUP(A26,Dataset!$A22:$A60,Dataset!$G22:$G60)</f>
        <v>49.1</v>
      </c>
      <c r="C26" s="12">
        <f>_xlfn.XLOOKUP(A26,Dataset!$A22:$A60,Dataset!$N22:$N60)</f>
        <v>146.80000000000001</v>
      </c>
      <c r="D26" s="12">
        <f>_xlfn.XLOOKUP(A26,Dataset!$A22:$A60,Dataset!$R22:$R60)</f>
        <v>90.9</v>
      </c>
      <c r="E26" s="12">
        <f>_xlfn.XLOOKUP(A26,Dataset!$A22:$A60,Dataset!$T22:$T60)</f>
        <v>183.5</v>
      </c>
      <c r="F26" s="8">
        <f>_xlfn.XLOOKUP(A26,Dataset!$A22:$A60,Dataset!$V22:$V60)</f>
        <v>90.9</v>
      </c>
    </row>
    <row r="27" spans="1:6" ht="14.5" x14ac:dyDescent="0.35">
      <c r="A27" s="7" t="s">
        <v>39</v>
      </c>
      <c r="B27" s="12">
        <f>_xlfn.XLOOKUP(A27,Dataset!$A23:$A61,Dataset!$G23:$G61)</f>
        <v>51.8</v>
      </c>
      <c r="C27" s="12">
        <f>_xlfn.XLOOKUP(A27,Dataset!$A23:$A61,Dataset!$N23:$N61)</f>
        <v>156.4</v>
      </c>
      <c r="D27" s="12">
        <f>_xlfn.XLOOKUP(A27,Dataset!$A23:$A61,Dataset!$R23:$R61)</f>
        <v>93.1</v>
      </c>
      <c r="E27" s="12">
        <f>_xlfn.XLOOKUP(A27,Dataset!$A23:$A61,Dataset!$T23:$T61)</f>
        <v>188.1</v>
      </c>
      <c r="F27" s="8">
        <f>_xlfn.XLOOKUP(A27,Dataset!$A23:$A61,Dataset!$V23:$V61)</f>
        <v>93.1</v>
      </c>
    </row>
    <row r="28" spans="1:6" ht="14.5" x14ac:dyDescent="0.35">
      <c r="A28" s="19" t="s">
        <v>82</v>
      </c>
      <c r="B28" s="31">
        <f>MIN(B6:B27)</f>
        <v>-1</v>
      </c>
      <c r="C28" s="31">
        <f>MIN(C6:D27)</f>
        <v>-1</v>
      </c>
      <c r="D28" s="31">
        <f>MIN(D6:D27)</f>
        <v>-1</v>
      </c>
      <c r="E28" s="31">
        <f>MIN(E6:E27)</f>
        <v>-1</v>
      </c>
      <c r="F28" s="31">
        <f>MIN(F6:F27)</f>
        <v>-1</v>
      </c>
    </row>
    <row r="29" spans="1:6" ht="14.5" x14ac:dyDescent="0.35">
      <c r="A29" s="19" t="s">
        <v>83</v>
      </c>
      <c r="B29" s="31">
        <f>MAX(B6:B27)</f>
        <v>51.8</v>
      </c>
      <c r="C29" s="31">
        <f>MAX(C6:C27)</f>
        <v>156.4</v>
      </c>
      <c r="D29" s="31">
        <f>MAX(D6:D27)</f>
        <v>93.1</v>
      </c>
      <c r="E29" s="31">
        <f>MAX(E6:E27)</f>
        <v>188.1</v>
      </c>
      <c r="F29" s="31">
        <f>MAX(F6:F27)</f>
        <v>93.1</v>
      </c>
    </row>
    <row r="30" spans="1:6" ht="14.5" x14ac:dyDescent="0.35">
      <c r="A30" s="19" t="s">
        <v>84</v>
      </c>
      <c r="B30" s="31">
        <f>AVERAGE(B6:B27)</f>
        <v>20.827272727272728</v>
      </c>
      <c r="C30" s="31">
        <f>AVERAGE(C6:C27)</f>
        <v>62.377272727272725</v>
      </c>
      <c r="D30" s="31">
        <f>AVERAGE(D6:D27)</f>
        <v>37.800000000000004</v>
      </c>
      <c r="E30" s="31">
        <f>AVERAGE(E6:E27)</f>
        <v>76.418181818181822</v>
      </c>
      <c r="F30" s="31">
        <f>AVERAGE(F6:F27)</f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7"/>
  <sheetViews>
    <sheetView topLeftCell="A22" zoomScaleNormal="100" workbookViewId="0">
      <selection activeCell="B8" sqref="B8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174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151</v>
      </c>
    </row>
    <row r="5" spans="1:10" ht="18.5" x14ac:dyDescent="0.45">
      <c r="A5" s="43" t="s">
        <v>53</v>
      </c>
      <c r="B5" s="1" t="s">
        <v>179</v>
      </c>
    </row>
    <row r="6" spans="1:10" ht="18.5" x14ac:dyDescent="0.45">
      <c r="A6" s="43" t="s">
        <v>153</v>
      </c>
      <c r="B6" s="1" t="s">
        <v>180</v>
      </c>
    </row>
    <row r="7" spans="1:10" ht="18.5" x14ac:dyDescent="0.45">
      <c r="A7" s="43"/>
      <c r="B7" s="1" t="s">
        <v>181</v>
      </c>
    </row>
    <row r="8" spans="1:10" ht="18.5" x14ac:dyDescent="0.45">
      <c r="A8" s="43"/>
      <c r="B8" s="1" t="s">
        <v>183</v>
      </c>
    </row>
    <row r="9" spans="1:10" x14ac:dyDescent="0.35">
      <c r="B9" s="1" t="s">
        <v>182</v>
      </c>
    </row>
    <row r="12" spans="1:10" ht="23.5" x14ac:dyDescent="0.55000000000000004">
      <c r="A12" s="18" t="s">
        <v>165</v>
      </c>
      <c r="I12" s="2"/>
      <c r="J12" s="2"/>
    </row>
    <row r="13" spans="1:10" x14ac:dyDescent="0.35">
      <c r="A13" s="33" t="s">
        <v>102</v>
      </c>
      <c r="B13" s="17" t="s">
        <v>49</v>
      </c>
      <c r="C13" s="17" t="s">
        <v>50</v>
      </c>
      <c r="D13" s="17" t="s">
        <v>51</v>
      </c>
      <c r="E13" s="17" t="s">
        <v>52</v>
      </c>
      <c r="F13" s="17" t="s">
        <v>54</v>
      </c>
      <c r="I13" s="2"/>
      <c r="J13" s="2"/>
    </row>
    <row r="14" spans="1:10" x14ac:dyDescent="0.35">
      <c r="A14" s="9" t="s">
        <v>121</v>
      </c>
      <c r="B14" s="13">
        <v>20000</v>
      </c>
      <c r="C14" s="13" t="s">
        <v>5</v>
      </c>
      <c r="D14" s="13">
        <v>0</v>
      </c>
      <c r="E14" s="11" t="s">
        <v>6</v>
      </c>
      <c r="F14" s="11">
        <v>24</v>
      </c>
      <c r="I14" s="2"/>
      <c r="J14" s="2"/>
    </row>
    <row r="17" spans="1:6" ht="23.5" x14ac:dyDescent="0.55000000000000004">
      <c r="A17" s="18" t="s">
        <v>162</v>
      </c>
    </row>
    <row r="18" spans="1:6" x14ac:dyDescent="0.35">
      <c r="A18" s="14" t="s">
        <v>103</v>
      </c>
      <c r="B18" s="17" t="s">
        <v>49</v>
      </c>
      <c r="C18" s="15" t="s">
        <v>50</v>
      </c>
      <c r="D18" s="17" t="s">
        <v>51</v>
      </c>
      <c r="E18" s="15" t="s">
        <v>52</v>
      </c>
      <c r="F18" s="17" t="s">
        <v>54</v>
      </c>
    </row>
    <row r="19" spans="1:6" x14ac:dyDescent="0.35">
      <c r="A19" s="7" t="s">
        <v>121</v>
      </c>
      <c r="B19" s="12">
        <v>20000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122</v>
      </c>
      <c r="B20" s="12">
        <v>20002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123</v>
      </c>
      <c r="B21" s="12">
        <v>20004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35">
      <c r="A22" s="7" t="s">
        <v>124</v>
      </c>
      <c r="B22" s="12">
        <v>20006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125</v>
      </c>
      <c r="B23" s="12">
        <v>20008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126</v>
      </c>
      <c r="B24" s="12">
        <v>20010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127</v>
      </c>
      <c r="B25" s="12">
        <v>20012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128</v>
      </c>
      <c r="B26" s="12">
        <v>20014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129</v>
      </c>
      <c r="B27" s="12">
        <v>20016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130</v>
      </c>
      <c r="B28" s="12">
        <v>20018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131</v>
      </c>
      <c r="B29" s="12">
        <v>20020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132</v>
      </c>
      <c r="B30" s="12">
        <v>20022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133</v>
      </c>
      <c r="B31" s="12">
        <v>20024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134</v>
      </c>
      <c r="B32" s="12">
        <v>20026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135</v>
      </c>
      <c r="B33" s="12">
        <v>20028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136</v>
      </c>
      <c r="B34" s="12">
        <v>20030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137</v>
      </c>
      <c r="B35" s="12">
        <v>20032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138</v>
      </c>
      <c r="B36" s="12">
        <v>20034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139</v>
      </c>
      <c r="B37" s="12">
        <v>20036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140</v>
      </c>
      <c r="B38" s="12">
        <v>20038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141</v>
      </c>
      <c r="B39" s="12">
        <v>20040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142</v>
      </c>
      <c r="B40" s="12">
        <v>20042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143</v>
      </c>
      <c r="B41" s="12">
        <v>20044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144</v>
      </c>
      <c r="B42" s="12">
        <v>20046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145</v>
      </c>
      <c r="B43" s="12">
        <v>20048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146</v>
      </c>
      <c r="B44" s="12">
        <v>20050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147</v>
      </c>
      <c r="B45" s="12">
        <v>20052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148</v>
      </c>
      <c r="B46" s="12">
        <v>20054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149</v>
      </c>
      <c r="B47" s="12">
        <v>20058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150</v>
      </c>
      <c r="B48" s="12">
        <v>20060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112</v>
      </c>
      <c r="B49" s="12">
        <v>21000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113</v>
      </c>
      <c r="B50" s="12">
        <v>21002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114</v>
      </c>
      <c r="B51" s="12">
        <v>21004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115</v>
      </c>
      <c r="B52" s="12">
        <v>21006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116</v>
      </c>
      <c r="B53" s="12">
        <v>21008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7" t="s">
        <v>117</v>
      </c>
      <c r="B54" s="12">
        <v>21010</v>
      </c>
      <c r="C54" s="1" t="s">
        <v>5</v>
      </c>
      <c r="D54" s="12">
        <v>0</v>
      </c>
      <c r="E54" s="1" t="s">
        <v>6</v>
      </c>
      <c r="F54" s="12">
        <v>24</v>
      </c>
    </row>
    <row r="55" spans="1:6" x14ac:dyDescent="0.35">
      <c r="A55" s="7" t="s">
        <v>118</v>
      </c>
      <c r="B55" s="12">
        <v>21012</v>
      </c>
      <c r="C55" s="1" t="s">
        <v>5</v>
      </c>
      <c r="D55" s="12">
        <v>0</v>
      </c>
      <c r="E55" s="1" t="s">
        <v>6</v>
      </c>
      <c r="F55" s="12">
        <v>24</v>
      </c>
    </row>
    <row r="56" spans="1:6" x14ac:dyDescent="0.35">
      <c r="A56" s="7" t="s">
        <v>119</v>
      </c>
      <c r="B56" s="12">
        <v>21014</v>
      </c>
      <c r="C56" s="1" t="s">
        <v>5</v>
      </c>
      <c r="D56" s="12">
        <v>0</v>
      </c>
      <c r="E56" s="1" t="s">
        <v>6</v>
      </c>
      <c r="F56" s="12">
        <v>24</v>
      </c>
    </row>
    <row r="57" spans="1:6" x14ac:dyDescent="0.35">
      <c r="A57" s="9" t="s">
        <v>120</v>
      </c>
      <c r="B57" s="13">
        <v>21016</v>
      </c>
      <c r="C57" s="10" t="s">
        <v>5</v>
      </c>
      <c r="D57" s="13">
        <v>0</v>
      </c>
      <c r="E57" s="10" t="s">
        <v>6</v>
      </c>
      <c r="F57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5"/>
  <sheetViews>
    <sheetView topLeftCell="A12" zoomScaleNormal="100" workbookViewId="0">
      <selection activeCell="H24" sqref="H24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2" t="s">
        <v>85</v>
      </c>
      <c r="B1" s="41" t="s">
        <v>167</v>
      </c>
    </row>
    <row r="2" spans="1:3" ht="18.5" x14ac:dyDescent="0.45">
      <c r="B2" s="40" t="s">
        <v>166</v>
      </c>
    </row>
    <row r="5" spans="1:3" ht="14.5" x14ac:dyDescent="0.35">
      <c r="B5" s="1" t="s">
        <v>151</v>
      </c>
    </row>
    <row r="6" spans="1:3" ht="14.5" x14ac:dyDescent="0.35">
      <c r="A6" s="3" t="s">
        <v>53</v>
      </c>
      <c r="B6" s="1" t="s">
        <v>184</v>
      </c>
    </row>
    <row r="7" spans="1:3" ht="14.5" x14ac:dyDescent="0.35">
      <c r="A7" s="3" t="s">
        <v>153</v>
      </c>
      <c r="B7" s="46" t="s">
        <v>185</v>
      </c>
    </row>
    <row r="8" spans="1:3" ht="14" x14ac:dyDescent="0.3">
      <c r="B8" s="46" t="s">
        <v>186</v>
      </c>
    </row>
    <row r="9" spans="1:3" ht="14" x14ac:dyDescent="0.3">
      <c r="B9" s="46" t="s">
        <v>187</v>
      </c>
    </row>
    <row r="10" spans="1:3" ht="14" x14ac:dyDescent="0.3">
      <c r="B10" s="46"/>
    </row>
    <row r="11" spans="1:3" ht="14" x14ac:dyDescent="0.3">
      <c r="B11" s="46"/>
    </row>
    <row r="13" spans="1:3" ht="23.5" x14ac:dyDescent="0.55000000000000004">
      <c r="A13" s="18" t="s">
        <v>162</v>
      </c>
    </row>
    <row r="14" spans="1:3" ht="14.5" x14ac:dyDescent="0.35">
      <c r="A14" s="32" t="s">
        <v>86</v>
      </c>
      <c r="B14" s="17" t="s">
        <v>87</v>
      </c>
      <c r="C14" s="17" t="s">
        <v>88</v>
      </c>
    </row>
    <row r="15" spans="1:3" ht="14.5" x14ac:dyDescent="0.35">
      <c r="A15" s="32">
        <v>44927</v>
      </c>
      <c r="B15" s="17" t="s">
        <v>59</v>
      </c>
      <c r="C15" s="17">
        <v>200</v>
      </c>
    </row>
    <row r="16" spans="1:3" ht="14.5" x14ac:dyDescent="0.35">
      <c r="A16" s="32">
        <v>44928</v>
      </c>
      <c r="B16" s="17" t="s">
        <v>60</v>
      </c>
      <c r="C16" s="17" t="e">
        <v>#N/A</v>
      </c>
    </row>
    <row r="17" spans="1:3" ht="14.5" x14ac:dyDescent="0.35">
      <c r="A17" s="32">
        <v>44929</v>
      </c>
      <c r="B17" s="17" t="s">
        <v>61</v>
      </c>
      <c r="C17" s="17">
        <v>50</v>
      </c>
    </row>
    <row r="18" spans="1:3" ht="14.5" x14ac:dyDescent="0.35">
      <c r="A18" s="32">
        <v>44930</v>
      </c>
      <c r="B18" s="17" t="s">
        <v>62</v>
      </c>
      <c r="C18" s="17" t="e">
        <v>#N/A</v>
      </c>
    </row>
    <row r="19" spans="1:3" ht="14.5" x14ac:dyDescent="0.35">
      <c r="A19" s="32">
        <v>44931</v>
      </c>
      <c r="B19" s="17" t="s">
        <v>63</v>
      </c>
      <c r="C19" s="17">
        <v>10</v>
      </c>
    </row>
    <row r="20" spans="1:3" ht="14.5" x14ac:dyDescent="0.35">
      <c r="A20" s="32">
        <v>44932</v>
      </c>
      <c r="B20" s="17" t="s">
        <v>154</v>
      </c>
      <c r="C20" s="17">
        <v>150</v>
      </c>
    </row>
    <row r="21" spans="1:3" ht="14.5" x14ac:dyDescent="0.35">
      <c r="A21" s="32">
        <v>44933</v>
      </c>
      <c r="B21" s="17" t="s">
        <v>155</v>
      </c>
      <c r="C21" s="17">
        <v>80</v>
      </c>
    </row>
    <row r="22" spans="1:3" ht="14.5" x14ac:dyDescent="0.35">
      <c r="A22" s="32">
        <v>44934</v>
      </c>
      <c r="B22" s="17" t="s">
        <v>156</v>
      </c>
      <c r="C22" s="17" t="e">
        <v>#N/A</v>
      </c>
    </row>
    <row r="23" spans="1:3" ht="14.5" x14ac:dyDescent="0.35">
      <c r="A23" s="32">
        <v>44935</v>
      </c>
      <c r="B23" s="17" t="s">
        <v>157</v>
      </c>
      <c r="C23" s="17">
        <v>30</v>
      </c>
    </row>
    <row r="24" spans="1:3" ht="14.5" x14ac:dyDescent="0.35">
      <c r="A24" s="32">
        <v>44936</v>
      </c>
      <c r="B24" s="17" t="s">
        <v>158</v>
      </c>
      <c r="C24" s="17" t="e">
        <v>#N/A</v>
      </c>
    </row>
    <row r="25" spans="1:3" ht="14.5" x14ac:dyDescent="0.35">
      <c r="B25" s="17" t="s">
        <v>159</v>
      </c>
      <c r="C25" s="25" cm="1">
        <f t="array" ref="C25">SUM(IF(ISNA(C15:C24),20,C15:C24))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7"/>
  <sheetViews>
    <sheetView tabSelected="1" topLeftCell="A23" zoomScaleNormal="100" workbookViewId="0">
      <selection activeCell="C25" sqref="C25:C37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175</v>
      </c>
    </row>
    <row r="3" spans="1:14" ht="14.5" x14ac:dyDescent="0.35">
      <c r="B3" s="1" t="s">
        <v>151</v>
      </c>
    </row>
    <row r="4" spans="1:14" ht="18.5" x14ac:dyDescent="0.45">
      <c r="A4" s="43" t="s">
        <v>53</v>
      </c>
      <c r="B4" s="1"/>
      <c r="C4" s="2" t="s">
        <v>188</v>
      </c>
    </row>
    <row r="5" spans="1:14" ht="18.5" x14ac:dyDescent="0.45">
      <c r="A5" s="43" t="s">
        <v>153</v>
      </c>
      <c r="B5" s="1"/>
      <c r="C5" s="2" t="s">
        <v>189</v>
      </c>
    </row>
    <row r="6" spans="1:14" ht="14.5" x14ac:dyDescent="0.35">
      <c r="A6" s="3"/>
      <c r="B6" s="1"/>
      <c r="C6" s="2" t="s">
        <v>190</v>
      </c>
    </row>
    <row r="7" spans="1:14" x14ac:dyDescent="0.3">
      <c r="C7" s="2" t="s">
        <v>191</v>
      </c>
    </row>
    <row r="10" spans="1:14" ht="23.5" x14ac:dyDescent="0.55000000000000004">
      <c r="A10" s="18" t="s">
        <v>162</v>
      </c>
      <c r="M10" s="18" t="s">
        <v>163</v>
      </c>
    </row>
    <row r="11" spans="1:14" ht="14.5" x14ac:dyDescent="0.35">
      <c r="A11" s="26"/>
      <c r="B11" s="26" t="s">
        <v>89</v>
      </c>
      <c r="C11" s="26" t="s">
        <v>90</v>
      </c>
      <c r="D11" s="26" t="s">
        <v>91</v>
      </c>
      <c r="E11" s="26" t="s">
        <v>92</v>
      </c>
      <c r="F11" s="26" t="s">
        <v>93</v>
      </c>
      <c r="G11" s="26" t="s">
        <v>94</v>
      </c>
      <c r="H11" s="26" t="s">
        <v>95</v>
      </c>
      <c r="I11" s="26" t="s">
        <v>96</v>
      </c>
      <c r="J11" s="26" t="s">
        <v>97</v>
      </c>
      <c r="M11" s="19" t="s">
        <v>43</v>
      </c>
      <c r="N11" s="19" t="s">
        <v>99</v>
      </c>
    </row>
    <row r="12" spans="1:14" ht="14.5" x14ac:dyDescent="0.35">
      <c r="A12" s="26" t="s">
        <v>89</v>
      </c>
      <c r="B12" s="25">
        <v>-1</v>
      </c>
      <c r="C12" s="25">
        <v>95</v>
      </c>
      <c r="D12" s="25">
        <v>-1</v>
      </c>
      <c r="E12" s="25">
        <v>185</v>
      </c>
      <c r="F12" s="25">
        <v>255</v>
      </c>
      <c r="G12" s="25">
        <v>305</v>
      </c>
      <c r="H12" s="25">
        <v>415</v>
      </c>
      <c r="I12" s="25">
        <v>480</v>
      </c>
      <c r="J12" s="25">
        <v>525</v>
      </c>
      <c r="M12" s="12">
        <v>10100</v>
      </c>
      <c r="N12" s="12" t="s">
        <v>89</v>
      </c>
    </row>
    <row r="13" spans="1:14" ht="14.5" x14ac:dyDescent="0.35">
      <c r="A13" s="26" t="s">
        <v>90</v>
      </c>
      <c r="B13" s="25">
        <v>95</v>
      </c>
      <c r="C13" s="25">
        <v>-1</v>
      </c>
      <c r="D13" s="25">
        <v>-1</v>
      </c>
      <c r="E13" s="25">
        <v>90</v>
      </c>
      <c r="F13" s="25">
        <v>160</v>
      </c>
      <c r="G13" s="25">
        <v>210</v>
      </c>
      <c r="H13" s="25">
        <v>325</v>
      </c>
      <c r="I13" s="25">
        <v>390</v>
      </c>
      <c r="J13" s="25">
        <v>430</v>
      </c>
      <c r="M13" s="12">
        <v>10102</v>
      </c>
      <c r="N13" s="12" t="s">
        <v>90</v>
      </c>
    </row>
    <row r="14" spans="1:14" ht="14.5" x14ac:dyDescent="0.35">
      <c r="A14" s="26" t="s">
        <v>91</v>
      </c>
      <c r="B14" s="25">
        <v>-1</v>
      </c>
      <c r="C14" s="25">
        <v>-1</v>
      </c>
      <c r="D14" s="25">
        <v>-1</v>
      </c>
      <c r="E14" s="25">
        <v>60</v>
      </c>
      <c r="F14" s="25">
        <v>130</v>
      </c>
      <c r="G14" s="25">
        <v>180</v>
      </c>
      <c r="H14" s="25">
        <v>295</v>
      </c>
      <c r="I14" s="25">
        <v>355</v>
      </c>
      <c r="J14" s="25">
        <v>400</v>
      </c>
      <c r="M14" s="12">
        <v>10104</v>
      </c>
      <c r="N14" s="12" t="s">
        <v>91</v>
      </c>
    </row>
    <row r="15" spans="1:14" ht="14.5" x14ac:dyDescent="0.35">
      <c r="A15" s="26" t="s">
        <v>92</v>
      </c>
      <c r="B15" s="25">
        <v>185</v>
      </c>
      <c r="C15" s="25">
        <v>90</v>
      </c>
      <c r="D15" s="25">
        <v>60</v>
      </c>
      <c r="E15" s="25">
        <v>-1</v>
      </c>
      <c r="F15" s="25">
        <v>70</v>
      </c>
      <c r="G15" s="25">
        <v>120</v>
      </c>
      <c r="H15" s="25">
        <v>235</v>
      </c>
      <c r="I15" s="25">
        <v>300</v>
      </c>
      <c r="J15" s="25">
        <v>340</v>
      </c>
      <c r="M15" s="12">
        <v>10106</v>
      </c>
      <c r="N15" s="12" t="s">
        <v>92</v>
      </c>
    </row>
    <row r="16" spans="1:14" ht="14.5" x14ac:dyDescent="0.35">
      <c r="A16" s="26" t="s">
        <v>93</v>
      </c>
      <c r="B16" s="25">
        <v>255</v>
      </c>
      <c r="C16" s="25">
        <v>160</v>
      </c>
      <c r="D16" s="25">
        <v>130</v>
      </c>
      <c r="E16" s="25">
        <v>70</v>
      </c>
      <c r="F16" s="25">
        <v>-1</v>
      </c>
      <c r="G16" s="25">
        <v>50</v>
      </c>
      <c r="H16" s="25">
        <v>165</v>
      </c>
      <c r="I16" s="25">
        <v>230</v>
      </c>
      <c r="J16" s="25">
        <v>270</v>
      </c>
      <c r="M16" s="12">
        <v>10108</v>
      </c>
      <c r="N16" s="12" t="s">
        <v>93</v>
      </c>
    </row>
    <row r="17" spans="1:14" ht="14.5" x14ac:dyDescent="0.35">
      <c r="A17" s="26" t="s">
        <v>94</v>
      </c>
      <c r="B17" s="25">
        <v>305</v>
      </c>
      <c r="C17" s="25">
        <v>210</v>
      </c>
      <c r="D17" s="25">
        <v>180</v>
      </c>
      <c r="E17" s="25">
        <v>120</v>
      </c>
      <c r="F17" s="25">
        <v>50</v>
      </c>
      <c r="G17" s="25">
        <v>-1</v>
      </c>
      <c r="H17" s="25">
        <v>115</v>
      </c>
      <c r="I17" s="25">
        <v>180</v>
      </c>
      <c r="J17" s="25">
        <v>220</v>
      </c>
      <c r="M17" s="12">
        <v>10110</v>
      </c>
      <c r="N17" s="12" t="s">
        <v>94</v>
      </c>
    </row>
    <row r="18" spans="1:14" ht="14.5" x14ac:dyDescent="0.35">
      <c r="A18" s="26" t="s">
        <v>95</v>
      </c>
      <c r="B18" s="25">
        <v>415</v>
      </c>
      <c r="C18" s="25">
        <v>325</v>
      </c>
      <c r="D18" s="25">
        <v>295</v>
      </c>
      <c r="E18" s="25">
        <v>235</v>
      </c>
      <c r="F18" s="25">
        <v>165</v>
      </c>
      <c r="G18" s="25">
        <v>115</v>
      </c>
      <c r="H18" s="25">
        <v>-1</v>
      </c>
      <c r="I18" s="25">
        <v>65</v>
      </c>
      <c r="J18" s="25">
        <v>105</v>
      </c>
      <c r="M18" s="12">
        <v>10112</v>
      </c>
      <c r="N18" s="12" t="s">
        <v>95</v>
      </c>
    </row>
    <row r="19" spans="1:14" ht="14.5" x14ac:dyDescent="0.35">
      <c r="A19" s="26" t="s">
        <v>96</v>
      </c>
      <c r="B19" s="25">
        <v>480</v>
      </c>
      <c r="C19" s="25">
        <v>390</v>
      </c>
      <c r="D19" s="25">
        <v>355</v>
      </c>
      <c r="E19" s="25">
        <v>300</v>
      </c>
      <c r="F19" s="25">
        <v>230</v>
      </c>
      <c r="G19" s="25">
        <v>180</v>
      </c>
      <c r="H19" s="25">
        <v>65</v>
      </c>
      <c r="I19" s="25">
        <v>-1</v>
      </c>
      <c r="J19" s="25">
        <v>40</v>
      </c>
      <c r="M19" s="12">
        <v>10114</v>
      </c>
      <c r="N19" s="12" t="s">
        <v>96</v>
      </c>
    </row>
    <row r="20" spans="1:14" ht="14.5" x14ac:dyDescent="0.35">
      <c r="A20" s="26" t="s">
        <v>97</v>
      </c>
      <c r="B20" s="25">
        <v>525</v>
      </c>
      <c r="C20" s="25">
        <v>430</v>
      </c>
      <c r="D20" s="25">
        <v>400</v>
      </c>
      <c r="E20" s="25">
        <v>340</v>
      </c>
      <c r="F20" s="25">
        <v>270</v>
      </c>
      <c r="G20" s="25">
        <v>220</v>
      </c>
      <c r="H20" s="25">
        <v>105</v>
      </c>
      <c r="I20" s="25">
        <v>40</v>
      </c>
      <c r="J20" s="25">
        <v>-1</v>
      </c>
      <c r="M20" s="13">
        <v>10116</v>
      </c>
      <c r="N20" s="13" t="s">
        <v>97</v>
      </c>
    </row>
    <row r="23" spans="1:14" ht="23.5" x14ac:dyDescent="0.55000000000000004">
      <c r="A23" s="18" t="s">
        <v>168</v>
      </c>
    </row>
    <row r="24" spans="1:14" ht="14.5" x14ac:dyDescent="0.35">
      <c r="A24" s="14" t="s">
        <v>100</v>
      </c>
      <c r="B24" s="17" t="s">
        <v>101</v>
      </c>
      <c r="C24" s="16" t="s">
        <v>102</v>
      </c>
    </row>
    <row r="25" spans="1:14" ht="14.5" x14ac:dyDescent="0.35">
      <c r="A25" s="7">
        <v>10100</v>
      </c>
      <c r="B25" s="12">
        <v>10102</v>
      </c>
      <c r="C25" s="2" t="e" cm="1">
        <f t="array" ref="C25">INDEX(Table_A, MATCH(INDEX(Table_C, ROW(), 1), Table_A, 0), MATCH(INDEX(Table_C, ROW(), 2), Table_A, 0))</f>
        <v>#NAME?</v>
      </c>
    </row>
    <row r="26" spans="1:14" ht="14.5" x14ac:dyDescent="0.35">
      <c r="A26" s="7">
        <v>10100</v>
      </c>
      <c r="B26" s="12">
        <v>10104</v>
      </c>
      <c r="C26" s="2" t="e" cm="1">
        <f t="array" ref="C26">INDEX(Table_A, MATCH(INDEX(Table_C, ROW(), 1), Table_A, 0), MATCH(INDEX(Table_C, ROW(), 2), Table_A, 0))</f>
        <v>#NAME?</v>
      </c>
    </row>
    <row r="27" spans="1:14" ht="14.5" x14ac:dyDescent="0.35">
      <c r="A27" s="7">
        <v>10108</v>
      </c>
      <c r="B27" s="12">
        <v>10102</v>
      </c>
      <c r="C27" s="2" t="e" cm="1">
        <f t="array" ref="C27">INDEX(Table_A, MATCH(INDEX(Table_C, ROW(), 1), Table_A, 0), MATCH(INDEX(Table_C, ROW(), 2), Table_A, 0))</f>
        <v>#NAME?</v>
      </c>
    </row>
    <row r="28" spans="1:14" ht="14.5" x14ac:dyDescent="0.35">
      <c r="A28" s="7">
        <v>10100</v>
      </c>
      <c r="B28" s="12">
        <v>10106</v>
      </c>
      <c r="C28" s="2" t="e" cm="1">
        <f t="array" ref="C28">INDEX(Table_A, MATCH(INDEX(Table_C, ROW(), 1), Table_A, 0), MATCH(INDEX(Table_C, ROW(), 2), Table_A, 0))</f>
        <v>#NAME?</v>
      </c>
    </row>
    <row r="29" spans="1:14" ht="14.5" x14ac:dyDescent="0.35">
      <c r="A29" s="7">
        <v>10108</v>
      </c>
      <c r="B29" s="12">
        <v>10110</v>
      </c>
      <c r="C29" s="2" t="e" cm="1">
        <f t="array" ref="C29">INDEX(Table_A, MATCH(INDEX(Table_C, ROW(), 1), Table_A, 0), MATCH(INDEX(Table_C, ROW(), 2), Table_A, 0))</f>
        <v>#NAME?</v>
      </c>
    </row>
    <row r="30" spans="1:14" ht="14.5" x14ac:dyDescent="0.35">
      <c r="A30" s="7">
        <v>10102</v>
      </c>
      <c r="B30" s="12">
        <v>10104</v>
      </c>
      <c r="C30" s="2" t="e" cm="1">
        <f t="array" ref="C30">INDEX(Table_A, MATCH(INDEX(Table_C, ROW(), 1), Table_A, 0), MATCH(INDEX(Table_C, ROW(), 2), Table_A, 0))</f>
        <v>#NAME?</v>
      </c>
    </row>
    <row r="31" spans="1:14" ht="14.5" x14ac:dyDescent="0.35">
      <c r="A31" s="7">
        <v>10106</v>
      </c>
      <c r="B31" s="12">
        <v>10108</v>
      </c>
      <c r="C31" s="2" t="e" cm="1">
        <f t="array" ref="C31">INDEX(Table_A, MATCH(INDEX(Table_C, ROW(), 1), Table_A, 0), MATCH(INDEX(Table_C, ROW(), 2), Table_A, 0))</f>
        <v>#NAME?</v>
      </c>
    </row>
    <row r="32" spans="1:14" ht="14.5" x14ac:dyDescent="0.35">
      <c r="A32" s="7">
        <v>10102</v>
      </c>
      <c r="B32" s="12">
        <v>10106</v>
      </c>
      <c r="C32" s="2" t="e" cm="1">
        <f t="array" ref="C32">INDEX(Table_A, MATCH(INDEX(Table_C, ROW(), 1), Table_A, 0), MATCH(INDEX(Table_C, ROW(), 2), Table_A, 0))</f>
        <v>#NAME?</v>
      </c>
    </row>
    <row r="33" spans="1:3" ht="14.5" x14ac:dyDescent="0.35">
      <c r="A33" s="7">
        <v>10110</v>
      </c>
      <c r="B33" s="12">
        <v>10114</v>
      </c>
      <c r="C33" s="2" t="e" cm="1">
        <f t="array" ref="C33">INDEX(Table_A, MATCH(INDEX(Table_C, ROW(), 1), Table_A, 0), MATCH(INDEX(Table_C, ROW(), 2), Table_A, 0))</f>
        <v>#NAME?</v>
      </c>
    </row>
    <row r="34" spans="1:3" ht="14.5" x14ac:dyDescent="0.35">
      <c r="A34" s="7">
        <v>10104</v>
      </c>
      <c r="B34" s="12">
        <v>10106</v>
      </c>
      <c r="C34" s="2" t="e" cm="1">
        <f t="array" ref="C34">INDEX(Table_A, MATCH(INDEX(Table_C, ROW(), 1), Table_A, 0), MATCH(INDEX(Table_C, ROW(), 2), Table_A, 0))</f>
        <v>#NAME?</v>
      </c>
    </row>
    <row r="35" spans="1:3" ht="14.5" x14ac:dyDescent="0.35">
      <c r="A35" s="7">
        <v>10110</v>
      </c>
      <c r="B35" s="12">
        <v>10112</v>
      </c>
      <c r="C35" s="2" t="e" cm="1">
        <f t="array" ref="C35">INDEX(Table_A, MATCH(INDEX(Table_C, ROW(), 1), Table_A, 0), MATCH(INDEX(Table_C, ROW(), 2), Table_A, 0))</f>
        <v>#NAME?</v>
      </c>
    </row>
    <row r="36" spans="1:3" ht="14.5" x14ac:dyDescent="0.35">
      <c r="A36" s="7">
        <v>10100</v>
      </c>
      <c r="B36" s="12">
        <v>10114</v>
      </c>
      <c r="C36" s="2" t="e" cm="1">
        <f t="array" ref="C36">INDEX(Table_A, MATCH(INDEX(Table_C, ROW(), 1), Table_A, 0), MATCH(INDEX(Table_C, ROW(), 2), Table_A, 0))</f>
        <v>#NAME?</v>
      </c>
    </row>
    <row r="37" spans="1:3" ht="14.5" x14ac:dyDescent="0.35">
      <c r="A37" s="9">
        <v>10112</v>
      </c>
      <c r="B37" s="13">
        <v>10116</v>
      </c>
      <c r="C37" s="2" t="e" cm="1">
        <f t="array" ref="C37">INDEX(Table_A, MATCH(INDEX(Table_C, ROW(), 1), Table_A, 0), MATCH(INDEX(Table_C, ROW(), 2), Table_A, 0))</f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Varakil Akhila Sen</cp:lastModifiedBy>
  <dcterms:created xsi:type="dcterms:W3CDTF">2015-02-10T17:33:11Z</dcterms:created>
  <dcterms:modified xsi:type="dcterms:W3CDTF">2023-12-11T16:40:03Z</dcterms:modified>
</cp:coreProperties>
</file>